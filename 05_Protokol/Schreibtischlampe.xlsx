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\OneDrive\Desktop\Schule\5AHEL\Labor\2526_5AHEL_LA_Schreibtischlampe\05_Protokol\"/>
    </mc:Choice>
  </mc:AlternateContent>
  <xr:revisionPtr revIDLastSave="0" documentId="8_{9D805CC8-7781-44B8-B850-0833DFA5B2D6}" xr6:coauthVersionLast="47" xr6:coauthVersionMax="47" xr10:uidLastSave="{00000000-0000-0000-0000-000000000000}"/>
  <bookViews>
    <workbookView xWindow="-110" yWindow="-110" windowWidth="24220" windowHeight="15500" xr2:uid="{A7551C92-1645-41C7-B8D6-C2CF1CE5C049}"/>
  </bookViews>
  <sheets>
    <sheet name="Bauteilliste" sheetId="3" r:id="rId1"/>
    <sheet name="Preis" sheetId="4" r:id="rId2"/>
    <sheet name="Stromaufnahm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G5" i="4"/>
  <c r="G2" i="4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2" i="2"/>
</calcChain>
</file>

<file path=xl/sharedStrings.xml><?xml version="1.0" encoding="utf-8"?>
<sst xmlns="http://schemas.openxmlformats.org/spreadsheetml/2006/main" count="205" uniqueCount="118">
  <si>
    <t xml:space="preserve">    C1</t>
  </si>
  <si>
    <t xml:space="preserve">    C2</t>
  </si>
  <si>
    <t xml:space="preserve">    C3</t>
  </si>
  <si>
    <t xml:space="preserve">    D1</t>
  </si>
  <si>
    <t xml:space="preserve">    D2</t>
  </si>
  <si>
    <t xml:space="preserve">    D3</t>
  </si>
  <si>
    <t xml:space="preserve">    J1</t>
  </si>
  <si>
    <t xml:space="preserve">    J2</t>
  </si>
  <si>
    <t xml:space="preserve">    J5</t>
  </si>
  <si>
    <t xml:space="preserve">    Q1</t>
  </si>
  <si>
    <t xml:space="preserve">    Q2</t>
  </si>
  <si>
    <t xml:space="preserve">    Q3</t>
  </si>
  <si>
    <t xml:space="preserve">    R1</t>
  </si>
  <si>
    <t xml:space="preserve">    R2</t>
  </si>
  <si>
    <t xml:space="preserve">    R3</t>
  </si>
  <si>
    <t xml:space="preserve">    R5</t>
  </si>
  <si>
    <t xml:space="preserve">    RV1</t>
  </si>
  <si>
    <t xml:space="preserve">    RV2</t>
  </si>
  <si>
    <t xml:space="preserve">    RV4</t>
  </si>
  <si>
    <t xml:space="preserve">    U1</t>
  </si>
  <si>
    <t xml:space="preserve">    U2</t>
  </si>
  <si>
    <t xml:space="preserve">    U_Netzteil1</t>
  </si>
  <si>
    <t>4,7µ</t>
  </si>
  <si>
    <t>100n</t>
  </si>
  <si>
    <t>1N4148</t>
  </si>
  <si>
    <t>Versorgung</t>
  </si>
  <si>
    <t>Lampenkopf</t>
  </si>
  <si>
    <t>Messpunkte</t>
  </si>
  <si>
    <t>BC547</t>
  </si>
  <si>
    <t>1M</t>
  </si>
  <si>
    <t>220k</t>
  </si>
  <si>
    <t>4,7k</t>
  </si>
  <si>
    <t>6k8</t>
  </si>
  <si>
    <t>NE555P</t>
  </si>
  <si>
    <t>Recom Netzteil</t>
  </si>
  <si>
    <t>Diode_THT:D_DO-35_SOD27_P7.62mm_Horizontal</t>
  </si>
  <si>
    <t>Connector_PinHeader_2.54mm:PinHeader_1x02_P2.54mm_Vertical</t>
  </si>
  <si>
    <t>Package_TO_SOT_THT:TO-92L_HandSolder</t>
  </si>
  <si>
    <t>Package_TO_SOT_THT:TO-220-3_Vertical</t>
  </si>
  <si>
    <t>Resistor_THT:R_Axial_DIN0207_L6.3mm_D2.5mm_P10.16mm_Horizontal</t>
  </si>
  <si>
    <t>Potentiometer_THT:Potentiometer_ACP_CA9-V10_Vertical</t>
  </si>
  <si>
    <t>Package_DIP:DIP-8_W7.62mm</t>
  </si>
  <si>
    <t>Package_DIP:DIP-16_W7.62mm</t>
  </si>
  <si>
    <t>Libary:Recom_Netzteil_Footprint</t>
  </si>
  <si>
    <t>Stromaufnahme [mA]</t>
  </si>
  <si>
    <t>Helligkeit [lx]</t>
  </si>
  <si>
    <t>Lumen (lm) ist die Gesamtmenge des von einer Lampe ausgesendeten Lichts (Lichtstrom), während Lux (lx) angibt, wie viel Licht auf eine bestimmte Fläche trifft (Beleuchtungsstärke).</t>
  </si>
  <si>
    <t>Stromaufnahme pro LED [mA]</t>
  </si>
  <si>
    <t>RS-Components</t>
  </si>
  <si>
    <t>186-7622P</t>
  </si>
  <si>
    <t>Capacitor_THT:CP_Radial_D4.0mm_P2.00mm</t>
  </si>
  <si>
    <t>414-9171P</t>
  </si>
  <si>
    <t xml:space="preserve">    761-9822</t>
  </si>
  <si>
    <t>Capacitor_THT:CP_Radial_Tantal_D4.5mm_P5.00mm</t>
  </si>
  <si>
    <t>736-8839P</t>
  </si>
  <si>
    <t>TerminalBlock_Phoenix:TerminalBlock_Phoenix_MKDS-1,5-2_1x02_P5.00mm_Horizontal</t>
  </si>
  <si>
    <t>Conrad</t>
  </si>
  <si>
    <t>731091 - 62</t>
  </si>
  <si>
    <t>5M</t>
  </si>
  <si>
    <t>430935-UP</t>
  </si>
  <si>
    <t>TerminalBlock_Phoenix:TerminalBlock_Phoenix_MKDS-1,5-3_1x03_P5.00mm_Horizontal</t>
  </si>
  <si>
    <t>730196 - 62</t>
  </si>
  <si>
    <t>BDX53BG</t>
  </si>
  <si>
    <t>186-7938</t>
  </si>
  <si>
    <t>3 * 10</t>
  </si>
  <si>
    <t>Farnell</t>
  </si>
  <si>
    <t>436-3046</t>
  </si>
  <si>
    <t>MountingHole</t>
  </si>
  <si>
    <t>MountingHole:MountingHole_3.2mm_M3</t>
  </si>
  <si>
    <t>-</t>
  </si>
  <si>
    <t>HTL</t>
  </si>
  <si>
    <t>Bauteile:</t>
  </si>
  <si>
    <t>Schwanenhals:</t>
  </si>
  <si>
    <t>https://www.pollin.at/p/schwanenhals-350-mm-in-stahl-chrom-ausfuehrung-gewinde-m8x0-75-630875</t>
  </si>
  <si>
    <t>IKEA Schüssel:</t>
  </si>
  <si>
    <t>https://www.ikea.com/at/de/search/?q=30081467</t>
  </si>
  <si>
    <t xml:space="preserve">Sonstige </t>
  </si>
  <si>
    <t>Sicherungshalter</t>
  </si>
  <si>
    <t>Steckverbinder 250V</t>
  </si>
  <si>
    <t>Flachsteckhülse</t>
  </si>
  <si>
    <t>Harwin Steckverbindergehäuse</t>
  </si>
  <si>
    <t>Stiftleiste abgewinkelt</t>
  </si>
  <si>
    <t>LED</t>
  </si>
  <si>
    <t>Sonstiges:</t>
  </si>
  <si>
    <t>Gesamt:</t>
  </si>
  <si>
    <t>100k</t>
  </si>
  <si>
    <t>430897 - UP</t>
  </si>
  <si>
    <t>Reference</t>
  </si>
  <si>
    <t>Qty</t>
  </si>
  <si>
    <t>Value</t>
  </si>
  <si>
    <t>Lieferant</t>
  </si>
  <si>
    <t>Footprint</t>
  </si>
  <si>
    <t>Bestellnummer</t>
  </si>
  <si>
    <t>Stk</t>
  </si>
  <si>
    <t>Preis/Stk</t>
  </si>
  <si>
    <t>D1-D3</t>
  </si>
  <si>
    <t>D1</t>
  </si>
  <si>
    <t>D2</t>
  </si>
  <si>
    <t>D3</t>
  </si>
  <si>
    <t>C1</t>
  </si>
  <si>
    <t>Q1, Q2</t>
  </si>
  <si>
    <t>C2, C3</t>
  </si>
  <si>
    <t>J1</t>
  </si>
  <si>
    <t>RV1, RV2</t>
  </si>
  <si>
    <t>RV3</t>
  </si>
  <si>
    <t>J2</t>
  </si>
  <si>
    <t>Q3</t>
  </si>
  <si>
    <t>U2</t>
  </si>
  <si>
    <t>U1</t>
  </si>
  <si>
    <t>H1-H4</t>
  </si>
  <si>
    <t>J5</t>
  </si>
  <si>
    <t>R1</t>
  </si>
  <si>
    <t>R2</t>
  </si>
  <si>
    <t>R3</t>
  </si>
  <si>
    <t>R5</t>
  </si>
  <si>
    <t>U_Netzteil1</t>
  </si>
  <si>
    <t>Lieferant:</t>
  </si>
  <si>
    <t>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</si>
</sst>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3" fillId="0" borderId="0" xfId="1" applyFont="1" applyAlignment="1">
      <alignment wrapText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1" fillId="0" borderId="15" xfId="0" applyFont="1" applyBorder="1"/>
    <xf numFmtId="0" fontId="1" fillId="0" borderId="0" xfId="0" applyFont="1"/>
    <xf numFmtId="0" fontId="1" fillId="0" borderId="0" xfId="0" applyFont="1" applyAlignment="1">
      <alignment horizontal="left" vertical="top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Stromaufnahme!$B$1</c:f>
              <c:strCache>
                <c:ptCount val="1"/>
                <c:pt idx="0">
                  <c:v>Helligkeit [lx]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Stromaufnahme!$A$2:$A$17</c:f>
              <c:numCache>
                <c:formatCode>General</c:formatCode>
                <c:ptCount val="1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362</c:v>
                </c:pt>
              </c:numCache>
            </c:numRef>
          </c:xVal>
          <c:yVal>
            <c:numRef>
              <c:f>Stromaufnahme!$B$2:$B$17</c:f>
              <c:numCache>
                <c:formatCode>General</c:formatCode>
                <c:ptCount val="16"/>
                <c:pt idx="0">
                  <c:v>0</c:v>
                </c:pt>
                <c:pt idx="1">
                  <c:v>530</c:v>
                </c:pt>
                <c:pt idx="2">
                  <c:v>1060</c:v>
                </c:pt>
                <c:pt idx="3">
                  <c:v>1540</c:v>
                </c:pt>
                <c:pt idx="4">
                  <c:v>1970</c:v>
                </c:pt>
                <c:pt idx="5">
                  <c:v>2440</c:v>
                </c:pt>
                <c:pt idx="6">
                  <c:v>2910</c:v>
                </c:pt>
                <c:pt idx="7">
                  <c:v>3270</c:v>
                </c:pt>
                <c:pt idx="8">
                  <c:v>3700</c:v>
                </c:pt>
                <c:pt idx="9">
                  <c:v>4080</c:v>
                </c:pt>
                <c:pt idx="10">
                  <c:v>4400</c:v>
                </c:pt>
                <c:pt idx="11">
                  <c:v>4780</c:v>
                </c:pt>
                <c:pt idx="12">
                  <c:v>5090</c:v>
                </c:pt>
                <c:pt idx="13">
                  <c:v>5410</c:v>
                </c:pt>
                <c:pt idx="14">
                  <c:v>5690</c:v>
                </c:pt>
                <c:pt idx="15">
                  <c:v>5850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FD-4315-9159-C5C5A9967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346463"/>
        <c:axId val="2112345983"/>
      </c:scatterChart>
      <c:valAx>
        <c:axId val="211234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Stromaufnahme</a:t>
                </a:r>
                <a:r>
                  <a:rPr lang="de-AT" baseline="0"/>
                  <a:t> [mA]</a:t>
                </a:r>
                <a:endParaRPr lang="de-A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A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2345983"/>
        <c:crosses val="autoZero"/>
        <c:crossBetween val="midCat"/>
      </c:valAx>
      <c:valAx>
        <c:axId val="211234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Helligkeit [lx]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234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3664</xdr:colOff>
      <xdr:row>0</xdr:row>
      <xdr:rowOff>1</xdr:rowOff>
    </xdr:from>
    <xdr:to>
      <xdr:col>4</xdr:col>
      <xdr:colOff>3146913</xdr:colOff>
      <xdr:row>17</xdr:row>
      <xdr:rowOff>10991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8F84EBB-A26D-778D-A9B3-04DBE615D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C166-5572-4C94-88B6-9D8D665755DE}">
  <dimension ref="A1:H22"/>
  <sheetViews>
    <sheetView tabSelected="1" zoomScale="96" workbookViewId="0">
      <selection activeCell="D31" sqref="D31"/>
    </sheetView>
  </sheetViews>
  <sheetFormatPr baseColWidth="10" defaultRowHeight="14.5" x14ac:dyDescent="0.35"/>
  <cols>
    <col min="1" max="1" width="10.90625" style="14"/>
    <col min="2" max="2" width="5.81640625" style="14" customWidth="1"/>
    <col min="3" max="3" width="10.90625" style="14"/>
    <col min="4" max="4" width="77.54296875" style="14" customWidth="1"/>
    <col min="5" max="5" width="35.54296875" style="14" customWidth="1"/>
    <col min="6" max="6" width="13.7265625" style="14" customWidth="1"/>
    <col min="7" max="16384" width="10.90625" style="14"/>
  </cols>
  <sheetData>
    <row r="1" spans="1:8" s="22" customFormat="1" x14ac:dyDescent="0.35">
      <c r="A1" s="22" t="s">
        <v>87</v>
      </c>
      <c r="B1" s="22" t="s">
        <v>88</v>
      </c>
      <c r="C1" s="22" t="s">
        <v>89</v>
      </c>
      <c r="D1" s="22" t="s">
        <v>91</v>
      </c>
      <c r="E1" s="22" t="s">
        <v>90</v>
      </c>
      <c r="F1" s="22" t="s">
        <v>92</v>
      </c>
      <c r="G1" s="22" t="s">
        <v>94</v>
      </c>
      <c r="H1" s="22" t="s">
        <v>93</v>
      </c>
    </row>
    <row r="2" spans="1:8" x14ac:dyDescent="0.35">
      <c r="A2" s="14" t="s">
        <v>95</v>
      </c>
      <c r="B2" s="14">
        <v>3</v>
      </c>
      <c r="C2" s="14" t="s">
        <v>24</v>
      </c>
      <c r="D2" s="14" t="s">
        <v>35</v>
      </c>
      <c r="E2" s="14" t="s">
        <v>48</v>
      </c>
      <c r="F2" s="14" t="s">
        <v>49</v>
      </c>
      <c r="G2" s="14">
        <v>2.5999999999999999E-2</v>
      </c>
      <c r="H2" s="14">
        <v>500</v>
      </c>
    </row>
    <row r="3" spans="1:8" x14ac:dyDescent="0.35">
      <c r="A3" s="14" t="s">
        <v>96</v>
      </c>
      <c r="B3" s="14">
        <v>1</v>
      </c>
      <c r="C3" s="14" t="s">
        <v>24</v>
      </c>
      <c r="D3" s="14" t="s">
        <v>35</v>
      </c>
      <c r="E3" s="14" t="s">
        <v>48</v>
      </c>
      <c r="F3" s="14" t="s">
        <v>49</v>
      </c>
      <c r="G3" s="14">
        <v>2.5999999999999999E-2</v>
      </c>
      <c r="H3" s="14">
        <v>500</v>
      </c>
    </row>
    <row r="4" spans="1:8" x14ac:dyDescent="0.35">
      <c r="A4" s="14" t="s">
        <v>97</v>
      </c>
      <c r="B4" s="14">
        <v>1</v>
      </c>
      <c r="C4" s="14" t="s">
        <v>24</v>
      </c>
      <c r="D4" s="14" t="s">
        <v>35</v>
      </c>
      <c r="E4" s="14" t="s">
        <v>48</v>
      </c>
      <c r="F4" s="14" t="s">
        <v>49</v>
      </c>
      <c r="G4" s="14">
        <v>2.5999999999999999E-2</v>
      </c>
      <c r="H4" s="14">
        <v>500</v>
      </c>
    </row>
    <row r="5" spans="1:8" x14ac:dyDescent="0.35">
      <c r="A5" s="14" t="s">
        <v>98</v>
      </c>
      <c r="B5" s="14">
        <v>1</v>
      </c>
      <c r="C5" s="14" t="s">
        <v>24</v>
      </c>
      <c r="D5" s="14" t="s">
        <v>35</v>
      </c>
      <c r="E5" s="14" t="s">
        <v>48</v>
      </c>
      <c r="F5" s="14" t="s">
        <v>49</v>
      </c>
      <c r="G5" s="14">
        <v>2.5999999999999999E-2</v>
      </c>
      <c r="H5" s="14">
        <v>500</v>
      </c>
    </row>
    <row r="6" spans="1:8" x14ac:dyDescent="0.35">
      <c r="A6" s="14" t="s">
        <v>99</v>
      </c>
      <c r="B6" s="14">
        <v>1</v>
      </c>
      <c r="C6" s="14" t="s">
        <v>22</v>
      </c>
      <c r="D6" s="14" t="s">
        <v>50</v>
      </c>
      <c r="E6" s="14" t="s">
        <v>48</v>
      </c>
      <c r="F6" s="14" t="s">
        <v>51</v>
      </c>
      <c r="G6" s="14">
        <v>0.09</v>
      </c>
      <c r="H6" s="14">
        <v>100</v>
      </c>
    </row>
    <row r="7" spans="1:8" x14ac:dyDescent="0.35">
      <c r="A7" s="14" t="s">
        <v>100</v>
      </c>
      <c r="B7" s="14">
        <v>2</v>
      </c>
      <c r="C7" s="14" t="s">
        <v>28</v>
      </c>
      <c r="D7" s="14" t="s">
        <v>37</v>
      </c>
      <c r="E7" s="14" t="s">
        <v>48</v>
      </c>
      <c r="F7" s="14" t="s">
        <v>52</v>
      </c>
      <c r="G7" s="14">
        <v>9.9000000000000005E-2</v>
      </c>
      <c r="H7" s="14">
        <v>100</v>
      </c>
    </row>
    <row r="8" spans="1:8" x14ac:dyDescent="0.35">
      <c r="A8" s="14" t="s">
        <v>101</v>
      </c>
      <c r="B8" s="14">
        <v>2</v>
      </c>
      <c r="C8" s="14" t="s">
        <v>23</v>
      </c>
      <c r="D8" s="14" t="s">
        <v>53</v>
      </c>
      <c r="E8" s="14" t="s">
        <v>48</v>
      </c>
      <c r="F8" s="14" t="s">
        <v>54</v>
      </c>
      <c r="G8" s="14">
        <v>0.16600000000000001</v>
      </c>
      <c r="H8" s="14">
        <v>250</v>
      </c>
    </row>
    <row r="9" spans="1:8" x14ac:dyDescent="0.35">
      <c r="A9" s="14" t="s">
        <v>102</v>
      </c>
      <c r="B9" s="14">
        <v>1</v>
      </c>
      <c r="C9" s="14" t="s">
        <v>25</v>
      </c>
      <c r="D9" s="14" t="s">
        <v>55</v>
      </c>
      <c r="E9" s="14" t="s">
        <v>56</v>
      </c>
      <c r="F9" s="14" t="s">
        <v>57</v>
      </c>
      <c r="G9" s="14">
        <v>0.28399999999999997</v>
      </c>
      <c r="H9" s="14">
        <v>30</v>
      </c>
    </row>
    <row r="10" spans="1:8" x14ac:dyDescent="0.35">
      <c r="A10" s="14" t="s">
        <v>103</v>
      </c>
      <c r="B10" s="14">
        <v>2</v>
      </c>
      <c r="C10" s="14" t="s">
        <v>85</v>
      </c>
      <c r="D10" s="14" t="s">
        <v>40</v>
      </c>
      <c r="E10" s="14" t="s">
        <v>56</v>
      </c>
      <c r="F10" s="14" t="s">
        <v>86</v>
      </c>
      <c r="G10" s="14">
        <v>0.36</v>
      </c>
      <c r="H10" s="14">
        <v>30</v>
      </c>
    </row>
    <row r="11" spans="1:8" x14ac:dyDescent="0.35">
      <c r="A11" s="14" t="s">
        <v>104</v>
      </c>
      <c r="B11" s="14">
        <v>1</v>
      </c>
      <c r="C11" s="14" t="s">
        <v>58</v>
      </c>
      <c r="D11" s="14" t="s">
        <v>40</v>
      </c>
      <c r="E11" s="14" t="s">
        <v>56</v>
      </c>
      <c r="F11" s="14" t="s">
        <v>59</v>
      </c>
      <c r="G11" s="14">
        <v>0.33</v>
      </c>
      <c r="H11" s="14">
        <v>30</v>
      </c>
    </row>
    <row r="12" spans="1:8" x14ac:dyDescent="0.35">
      <c r="A12" s="14" t="s">
        <v>105</v>
      </c>
      <c r="B12" s="14">
        <v>1</v>
      </c>
      <c r="C12" s="14" t="s">
        <v>26</v>
      </c>
      <c r="D12" s="14" t="s">
        <v>60</v>
      </c>
      <c r="E12" s="14" t="s">
        <v>56</v>
      </c>
      <c r="F12" s="14" t="s">
        <v>61</v>
      </c>
      <c r="G12" s="14">
        <v>0.41</v>
      </c>
      <c r="H12" s="14">
        <v>30</v>
      </c>
    </row>
    <row r="13" spans="1:8" x14ac:dyDescent="0.35">
      <c r="A13" s="14" t="s">
        <v>106</v>
      </c>
      <c r="B13" s="14">
        <v>1</v>
      </c>
      <c r="C13" s="14" t="s">
        <v>62</v>
      </c>
      <c r="D13" s="14" t="s">
        <v>38</v>
      </c>
      <c r="E13" s="14" t="s">
        <v>48</v>
      </c>
      <c r="F13" s="14" t="s">
        <v>63</v>
      </c>
      <c r="G13" s="14">
        <v>0.77400000000000002</v>
      </c>
      <c r="H13" s="14" t="s">
        <v>64</v>
      </c>
    </row>
    <row r="14" spans="1:8" x14ac:dyDescent="0.35">
      <c r="A14" s="14" t="s">
        <v>107</v>
      </c>
      <c r="B14" s="14">
        <v>1</v>
      </c>
      <c r="C14" s="14">
        <v>4017</v>
      </c>
      <c r="D14" s="14" t="s">
        <v>42</v>
      </c>
      <c r="E14" s="14" t="s">
        <v>65</v>
      </c>
      <c r="F14" s="14">
        <v>3006265</v>
      </c>
      <c r="G14" s="14">
        <v>0.92</v>
      </c>
      <c r="H14" s="14">
        <v>30</v>
      </c>
    </row>
    <row r="15" spans="1:8" x14ac:dyDescent="0.35">
      <c r="A15" s="14" t="s">
        <v>108</v>
      </c>
      <c r="B15" s="14">
        <v>1</v>
      </c>
      <c r="C15" s="14" t="s">
        <v>33</v>
      </c>
      <c r="D15" s="14" t="s">
        <v>41</v>
      </c>
      <c r="E15" s="14" t="s">
        <v>48</v>
      </c>
      <c r="F15" s="14" t="s">
        <v>66</v>
      </c>
      <c r="G15" s="14">
        <v>1.1499999999999999</v>
      </c>
      <c r="H15" s="14">
        <v>30</v>
      </c>
    </row>
    <row r="16" spans="1:8" x14ac:dyDescent="0.35">
      <c r="A16" s="14" t="s">
        <v>109</v>
      </c>
      <c r="B16" s="14">
        <v>4</v>
      </c>
      <c r="C16" s="14" t="s">
        <v>67</v>
      </c>
      <c r="D16" s="14" t="s">
        <v>68</v>
      </c>
      <c r="E16" s="14" t="s">
        <v>69</v>
      </c>
      <c r="F16" s="14" t="s">
        <v>69</v>
      </c>
      <c r="G16" s="14" t="s">
        <v>69</v>
      </c>
      <c r="H16" s="14" t="s">
        <v>69</v>
      </c>
    </row>
    <row r="17" spans="1:8" x14ac:dyDescent="0.35">
      <c r="A17" s="14" t="s">
        <v>110</v>
      </c>
      <c r="B17" s="14">
        <v>1</v>
      </c>
      <c r="C17" s="14" t="s">
        <v>27</v>
      </c>
      <c r="D17" s="14" t="s">
        <v>36</v>
      </c>
      <c r="E17" s="14" t="s">
        <v>70</v>
      </c>
      <c r="F17" s="14" t="s">
        <v>69</v>
      </c>
      <c r="G17" s="14" t="s">
        <v>69</v>
      </c>
      <c r="H17" s="14" t="s">
        <v>69</v>
      </c>
    </row>
    <row r="18" spans="1:8" x14ac:dyDescent="0.35">
      <c r="A18" s="14" t="s">
        <v>111</v>
      </c>
      <c r="B18" s="14">
        <v>1</v>
      </c>
      <c r="C18" s="14" t="s">
        <v>29</v>
      </c>
      <c r="D18" s="14" t="s">
        <v>39</v>
      </c>
      <c r="E18" s="14" t="s">
        <v>70</v>
      </c>
      <c r="F18" s="14" t="s">
        <v>69</v>
      </c>
      <c r="G18" s="14" t="s">
        <v>69</v>
      </c>
      <c r="H18" s="14" t="s">
        <v>69</v>
      </c>
    </row>
    <row r="19" spans="1:8" x14ac:dyDescent="0.35">
      <c r="A19" s="14" t="s">
        <v>112</v>
      </c>
      <c r="B19" s="14">
        <v>1</v>
      </c>
      <c r="C19" s="14" t="s">
        <v>30</v>
      </c>
      <c r="D19" s="14" t="s">
        <v>39</v>
      </c>
      <c r="E19" s="14" t="s">
        <v>70</v>
      </c>
      <c r="F19" s="14" t="s">
        <v>69</v>
      </c>
      <c r="G19" s="14" t="s">
        <v>69</v>
      </c>
      <c r="H19" s="14" t="s">
        <v>69</v>
      </c>
    </row>
    <row r="20" spans="1:8" x14ac:dyDescent="0.35">
      <c r="A20" s="14" t="s">
        <v>113</v>
      </c>
      <c r="B20" s="14">
        <v>1</v>
      </c>
      <c r="C20" s="14" t="s">
        <v>31</v>
      </c>
      <c r="D20" s="14" t="s">
        <v>39</v>
      </c>
      <c r="E20" s="14" t="s">
        <v>70</v>
      </c>
      <c r="F20" s="14" t="s">
        <v>69</v>
      </c>
      <c r="G20" s="14" t="s">
        <v>69</v>
      </c>
      <c r="H20" s="14" t="s">
        <v>69</v>
      </c>
    </row>
    <row r="21" spans="1:8" x14ac:dyDescent="0.35">
      <c r="A21" s="14" t="s">
        <v>114</v>
      </c>
      <c r="B21" s="14">
        <v>1</v>
      </c>
      <c r="C21" s="14" t="s">
        <v>32</v>
      </c>
      <c r="D21" s="14" t="s">
        <v>39</v>
      </c>
      <c r="E21" s="14" t="s">
        <v>70</v>
      </c>
      <c r="F21" s="14" t="s">
        <v>69</v>
      </c>
      <c r="G21" s="14" t="s">
        <v>69</v>
      </c>
      <c r="H21" s="14" t="s">
        <v>69</v>
      </c>
    </row>
    <row r="22" spans="1:8" x14ac:dyDescent="0.35">
      <c r="A22" s="14" t="s">
        <v>115</v>
      </c>
      <c r="B22" s="14">
        <v>1</v>
      </c>
      <c r="C22" s="14" t="s">
        <v>34</v>
      </c>
      <c r="D22" s="14" t="s">
        <v>43</v>
      </c>
      <c r="E22" s="14" t="s">
        <v>70</v>
      </c>
      <c r="F22" s="14" t="s">
        <v>69</v>
      </c>
      <c r="G22" s="14" t="s">
        <v>69</v>
      </c>
      <c r="H22" s="14" t="s">
        <v>69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B8CFB-C362-4B62-8003-1C493289623E}">
  <dimension ref="A1:I32"/>
  <sheetViews>
    <sheetView workbookViewId="0">
      <selection activeCell="E14" sqref="E14"/>
    </sheetView>
  </sheetViews>
  <sheetFormatPr baseColWidth="10" defaultRowHeight="14.5" x14ac:dyDescent="0.35"/>
  <cols>
    <col min="1" max="1" width="27.36328125" customWidth="1"/>
    <col min="2" max="2" width="15.81640625" customWidth="1"/>
    <col min="6" max="6" width="14.08984375" customWidth="1"/>
  </cols>
  <sheetData>
    <row r="1" spans="1:9" x14ac:dyDescent="0.35">
      <c r="A1" s="21" t="s">
        <v>71</v>
      </c>
      <c r="B1" s="21" t="s">
        <v>116</v>
      </c>
      <c r="C1" s="21" t="s">
        <v>117</v>
      </c>
    </row>
    <row r="2" spans="1:9" x14ac:dyDescent="0.35">
      <c r="A2" t="s">
        <v>3</v>
      </c>
      <c r="B2" t="s">
        <v>48</v>
      </c>
      <c r="C2">
        <v>2.5999999999999999E-2</v>
      </c>
      <c r="F2" s="15" t="s">
        <v>71</v>
      </c>
      <c r="G2" s="16">
        <f>SUM(C2:C17)</f>
        <v>5.2260000000000009</v>
      </c>
    </row>
    <row r="3" spans="1:9" x14ac:dyDescent="0.35">
      <c r="A3" t="s">
        <v>4</v>
      </c>
      <c r="B3" t="s">
        <v>48</v>
      </c>
      <c r="C3">
        <v>2.5999999999999999E-2</v>
      </c>
      <c r="F3" s="17" t="s">
        <v>72</v>
      </c>
      <c r="G3" s="18">
        <v>4.0999999999999996</v>
      </c>
      <c r="I3" t="s">
        <v>73</v>
      </c>
    </row>
    <row r="4" spans="1:9" x14ac:dyDescent="0.35">
      <c r="A4" t="s">
        <v>5</v>
      </c>
      <c r="B4" t="s">
        <v>48</v>
      </c>
      <c r="C4">
        <v>2.5999999999999999E-2</v>
      </c>
      <c r="F4" s="17" t="s">
        <v>74</v>
      </c>
      <c r="G4" s="18">
        <v>3.49</v>
      </c>
      <c r="I4" t="s">
        <v>75</v>
      </c>
    </row>
    <row r="5" spans="1:9" x14ac:dyDescent="0.35">
      <c r="A5" t="s">
        <v>0</v>
      </c>
      <c r="B5" t="s">
        <v>48</v>
      </c>
      <c r="C5">
        <v>0.09</v>
      </c>
      <c r="F5" s="17" t="s">
        <v>83</v>
      </c>
      <c r="G5" s="18">
        <f>SUM(C26:C32)</f>
        <v>5.8769999999999989</v>
      </c>
    </row>
    <row r="6" spans="1:9" x14ac:dyDescent="0.35">
      <c r="A6" t="s">
        <v>9</v>
      </c>
      <c r="B6" t="s">
        <v>48</v>
      </c>
      <c r="C6">
        <v>9.9000000000000005E-2</v>
      </c>
      <c r="F6" s="19" t="s">
        <v>84</v>
      </c>
      <c r="G6" s="20">
        <f>SUM(G2:G5)</f>
        <v>18.692999999999998</v>
      </c>
    </row>
    <row r="7" spans="1:9" x14ac:dyDescent="0.35">
      <c r="A7" t="s">
        <v>10</v>
      </c>
      <c r="B7" t="s">
        <v>48</v>
      </c>
      <c r="C7">
        <v>9.9000000000000005E-2</v>
      </c>
    </row>
    <row r="8" spans="1:9" x14ac:dyDescent="0.35">
      <c r="A8" t="s">
        <v>1</v>
      </c>
      <c r="B8" t="s">
        <v>48</v>
      </c>
      <c r="C8">
        <v>0.16600000000000001</v>
      </c>
    </row>
    <row r="9" spans="1:9" x14ac:dyDescent="0.35">
      <c r="A9" t="s">
        <v>2</v>
      </c>
      <c r="B9" t="s">
        <v>48</v>
      </c>
      <c r="C9">
        <v>0.16600000000000001</v>
      </c>
    </row>
    <row r="10" spans="1:9" x14ac:dyDescent="0.35">
      <c r="A10" t="s">
        <v>6</v>
      </c>
      <c r="B10" t="s">
        <v>56</v>
      </c>
      <c r="C10">
        <v>0.28399999999999997</v>
      </c>
    </row>
    <row r="11" spans="1:9" x14ac:dyDescent="0.35">
      <c r="A11" t="s">
        <v>16</v>
      </c>
      <c r="B11" t="s">
        <v>56</v>
      </c>
      <c r="C11">
        <v>0.33</v>
      </c>
    </row>
    <row r="12" spans="1:9" x14ac:dyDescent="0.35">
      <c r="A12" t="s">
        <v>17</v>
      </c>
      <c r="B12" t="s">
        <v>56</v>
      </c>
      <c r="C12">
        <v>0.33</v>
      </c>
    </row>
    <row r="13" spans="1:9" x14ac:dyDescent="0.35">
      <c r="A13" t="s">
        <v>18</v>
      </c>
      <c r="B13" t="s">
        <v>56</v>
      </c>
      <c r="C13">
        <v>0.33</v>
      </c>
    </row>
    <row r="14" spans="1:9" x14ac:dyDescent="0.35">
      <c r="A14" t="s">
        <v>7</v>
      </c>
      <c r="B14" t="s">
        <v>56</v>
      </c>
      <c r="C14">
        <v>0.41</v>
      </c>
    </row>
    <row r="15" spans="1:9" x14ac:dyDescent="0.35">
      <c r="A15" t="s">
        <v>11</v>
      </c>
      <c r="B15" t="s">
        <v>48</v>
      </c>
      <c r="C15">
        <v>0.77400000000000002</v>
      </c>
    </row>
    <row r="16" spans="1:9" x14ac:dyDescent="0.35">
      <c r="A16" t="s">
        <v>20</v>
      </c>
      <c r="B16" t="s">
        <v>65</v>
      </c>
      <c r="C16">
        <v>0.92</v>
      </c>
    </row>
    <row r="17" spans="1:3" x14ac:dyDescent="0.35">
      <c r="A17" t="s">
        <v>19</v>
      </c>
      <c r="B17" t="s">
        <v>48</v>
      </c>
      <c r="C17">
        <v>1.1499999999999999</v>
      </c>
    </row>
    <row r="18" spans="1:3" x14ac:dyDescent="0.35">
      <c r="A18" t="s">
        <v>8</v>
      </c>
      <c r="B18" t="s">
        <v>70</v>
      </c>
      <c r="C18" t="s">
        <v>69</v>
      </c>
    </row>
    <row r="19" spans="1:3" x14ac:dyDescent="0.35">
      <c r="A19" t="s">
        <v>12</v>
      </c>
      <c r="B19" t="s">
        <v>70</v>
      </c>
      <c r="C19" t="s">
        <v>69</v>
      </c>
    </row>
    <row r="20" spans="1:3" x14ac:dyDescent="0.35">
      <c r="A20" t="s">
        <v>13</v>
      </c>
      <c r="B20" t="s">
        <v>70</v>
      </c>
      <c r="C20" t="s">
        <v>69</v>
      </c>
    </row>
    <row r="21" spans="1:3" x14ac:dyDescent="0.35">
      <c r="A21" t="s">
        <v>14</v>
      </c>
      <c r="B21" t="s">
        <v>70</v>
      </c>
      <c r="C21" t="s">
        <v>69</v>
      </c>
    </row>
    <row r="22" spans="1:3" x14ac:dyDescent="0.35">
      <c r="A22" t="s">
        <v>15</v>
      </c>
      <c r="B22" t="s">
        <v>70</v>
      </c>
      <c r="C22" t="s">
        <v>69</v>
      </c>
    </row>
    <row r="23" spans="1:3" x14ac:dyDescent="0.35">
      <c r="A23" t="s">
        <v>21</v>
      </c>
      <c r="B23" t="s">
        <v>70</v>
      </c>
      <c r="C23" t="s">
        <v>69</v>
      </c>
    </row>
    <row r="25" spans="1:3" x14ac:dyDescent="0.35">
      <c r="A25" t="s">
        <v>76</v>
      </c>
    </row>
    <row r="26" spans="1:3" x14ac:dyDescent="0.35">
      <c r="A26" t="s">
        <v>77</v>
      </c>
      <c r="B26" t="s">
        <v>48</v>
      </c>
      <c r="C26">
        <v>2.2599999999999998</v>
      </c>
    </row>
    <row r="27" spans="1:3" x14ac:dyDescent="0.35">
      <c r="A27" t="s">
        <v>78</v>
      </c>
      <c r="B27" t="s">
        <v>48</v>
      </c>
      <c r="C27">
        <v>0.97699999999999998</v>
      </c>
    </row>
    <row r="28" spans="1:3" x14ac:dyDescent="0.35">
      <c r="A28" t="s">
        <v>79</v>
      </c>
      <c r="B28" t="s">
        <v>48</v>
      </c>
      <c r="C28">
        <v>0.28799999999999998</v>
      </c>
    </row>
    <row r="29" spans="1:3" x14ac:dyDescent="0.35">
      <c r="A29" t="s">
        <v>79</v>
      </c>
      <c r="B29" t="s">
        <v>48</v>
      </c>
      <c r="C29">
        <v>0.28799999999999998</v>
      </c>
    </row>
    <row r="30" spans="1:3" x14ac:dyDescent="0.35">
      <c r="A30" t="s">
        <v>80</v>
      </c>
      <c r="B30" t="s">
        <v>48</v>
      </c>
      <c r="C30">
        <v>0.13300000000000001</v>
      </c>
    </row>
    <row r="31" spans="1:3" x14ac:dyDescent="0.35">
      <c r="A31" t="s">
        <v>81</v>
      </c>
      <c r="B31" t="s">
        <v>48</v>
      </c>
      <c r="C31">
        <v>0.187</v>
      </c>
    </row>
    <row r="32" spans="1:3" x14ac:dyDescent="0.35">
      <c r="A32" t="s">
        <v>82</v>
      </c>
      <c r="B32" t="s">
        <v>48</v>
      </c>
      <c r="C32">
        <v>1.744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111A-52F1-483D-B1CC-16FAB1E56A47}">
  <dimension ref="A1:E29"/>
  <sheetViews>
    <sheetView zoomScale="130" workbookViewId="0">
      <selection activeCell="C12" sqref="C12"/>
    </sheetView>
  </sheetViews>
  <sheetFormatPr baseColWidth="10" defaultColWidth="10.6328125" defaultRowHeight="14.5" x14ac:dyDescent="0.35"/>
  <cols>
    <col min="1" max="1" width="18.81640625" style="1" customWidth="1"/>
    <col min="2" max="3" width="19.1796875" style="1" customWidth="1"/>
    <col min="4" max="4" width="10.6328125" style="1"/>
    <col min="5" max="5" width="44.08984375" style="1" customWidth="1"/>
    <col min="6" max="9" width="10.6328125" style="1"/>
    <col min="10" max="10" width="10.6328125" style="1" customWidth="1"/>
    <col min="11" max="16384" width="10.6328125" style="1"/>
  </cols>
  <sheetData>
    <row r="1" spans="1:5" x14ac:dyDescent="0.35">
      <c r="A1" s="4" t="s">
        <v>44</v>
      </c>
      <c r="B1" s="5" t="s">
        <v>45</v>
      </c>
      <c r="C1" s="5" t="s">
        <v>47</v>
      </c>
      <c r="D1" s="6"/>
      <c r="E1" s="7"/>
    </row>
    <row r="2" spans="1:5" x14ac:dyDescent="0.35">
      <c r="A2" s="8">
        <v>0</v>
      </c>
      <c r="B2" s="3">
        <v>0</v>
      </c>
      <c r="C2" s="13">
        <f>A2/16</f>
        <v>0</v>
      </c>
      <c r="D2" s="3"/>
      <c r="E2" s="9"/>
    </row>
    <row r="3" spans="1:5" x14ac:dyDescent="0.35">
      <c r="A3" s="8">
        <v>25</v>
      </c>
      <c r="B3" s="3">
        <v>530</v>
      </c>
      <c r="C3" s="13">
        <f t="shared" ref="C3:C17" si="0">A3/16</f>
        <v>1.5625</v>
      </c>
      <c r="D3" s="3"/>
      <c r="E3" s="9"/>
    </row>
    <row r="4" spans="1:5" x14ac:dyDescent="0.35">
      <c r="A4" s="8">
        <v>50</v>
      </c>
      <c r="B4" s="3">
        <v>1060</v>
      </c>
      <c r="C4" s="13">
        <f t="shared" si="0"/>
        <v>3.125</v>
      </c>
      <c r="D4" s="3"/>
      <c r="E4" s="9"/>
    </row>
    <row r="5" spans="1:5" x14ac:dyDescent="0.35">
      <c r="A5" s="8">
        <v>75</v>
      </c>
      <c r="B5" s="3">
        <v>1540</v>
      </c>
      <c r="C5" s="13">
        <f t="shared" si="0"/>
        <v>4.6875</v>
      </c>
      <c r="D5" s="3"/>
      <c r="E5" s="9"/>
    </row>
    <row r="6" spans="1:5" x14ac:dyDescent="0.35">
      <c r="A6" s="8">
        <v>100</v>
      </c>
      <c r="B6" s="3">
        <v>1970</v>
      </c>
      <c r="C6" s="13">
        <f t="shared" si="0"/>
        <v>6.25</v>
      </c>
      <c r="D6" s="3"/>
      <c r="E6" s="9"/>
    </row>
    <row r="7" spans="1:5" x14ac:dyDescent="0.35">
      <c r="A7" s="8">
        <v>125</v>
      </c>
      <c r="B7" s="3">
        <v>2440</v>
      </c>
      <c r="C7" s="13">
        <f t="shared" si="0"/>
        <v>7.8125</v>
      </c>
      <c r="D7" s="3"/>
      <c r="E7" s="9"/>
    </row>
    <row r="8" spans="1:5" x14ac:dyDescent="0.35">
      <c r="A8" s="8">
        <v>150</v>
      </c>
      <c r="B8" s="3">
        <v>2910</v>
      </c>
      <c r="C8" s="13">
        <f t="shared" si="0"/>
        <v>9.375</v>
      </c>
      <c r="D8" s="3"/>
      <c r="E8" s="9"/>
    </row>
    <row r="9" spans="1:5" x14ac:dyDescent="0.35">
      <c r="A9" s="8">
        <v>175</v>
      </c>
      <c r="B9" s="3">
        <v>3270</v>
      </c>
      <c r="C9" s="13">
        <f t="shared" si="0"/>
        <v>10.9375</v>
      </c>
      <c r="D9" s="3"/>
      <c r="E9" s="9"/>
    </row>
    <row r="10" spans="1:5" x14ac:dyDescent="0.35">
      <c r="A10" s="8">
        <v>200</v>
      </c>
      <c r="B10" s="3">
        <v>3700</v>
      </c>
      <c r="C10" s="13">
        <f t="shared" si="0"/>
        <v>12.5</v>
      </c>
      <c r="D10" s="3"/>
      <c r="E10" s="9"/>
    </row>
    <row r="11" spans="1:5" x14ac:dyDescent="0.35">
      <c r="A11" s="8">
        <v>225</v>
      </c>
      <c r="B11" s="3">
        <v>4080</v>
      </c>
      <c r="C11" s="13">
        <f t="shared" si="0"/>
        <v>14.0625</v>
      </c>
      <c r="D11" s="3"/>
      <c r="E11" s="9"/>
    </row>
    <row r="12" spans="1:5" x14ac:dyDescent="0.35">
      <c r="A12" s="8">
        <v>250</v>
      </c>
      <c r="B12" s="3">
        <v>4400</v>
      </c>
      <c r="C12" s="13">
        <f t="shared" si="0"/>
        <v>15.625</v>
      </c>
      <c r="D12" s="3"/>
      <c r="E12" s="9"/>
    </row>
    <row r="13" spans="1:5" x14ac:dyDescent="0.35">
      <c r="A13" s="8">
        <v>275</v>
      </c>
      <c r="B13" s="3">
        <v>4780</v>
      </c>
      <c r="C13" s="13">
        <f t="shared" si="0"/>
        <v>17.1875</v>
      </c>
      <c r="D13" s="3"/>
      <c r="E13" s="9"/>
    </row>
    <row r="14" spans="1:5" x14ac:dyDescent="0.35">
      <c r="A14" s="8">
        <v>300</v>
      </c>
      <c r="B14" s="3">
        <v>5090</v>
      </c>
      <c r="C14" s="13">
        <f t="shared" si="0"/>
        <v>18.75</v>
      </c>
      <c r="D14" s="3"/>
      <c r="E14" s="9"/>
    </row>
    <row r="15" spans="1:5" x14ac:dyDescent="0.35">
      <c r="A15" s="8">
        <v>325</v>
      </c>
      <c r="B15" s="3">
        <v>5410</v>
      </c>
      <c r="C15" s="13">
        <f t="shared" si="0"/>
        <v>20.3125</v>
      </c>
      <c r="D15" s="3"/>
      <c r="E15" s="9"/>
    </row>
    <row r="16" spans="1:5" x14ac:dyDescent="0.35">
      <c r="A16" s="8">
        <v>350</v>
      </c>
      <c r="B16" s="3">
        <v>5690</v>
      </c>
      <c r="C16" s="13">
        <f t="shared" si="0"/>
        <v>21.875</v>
      </c>
      <c r="D16" s="3"/>
      <c r="E16" s="9"/>
    </row>
    <row r="17" spans="1:5" ht="15" thickBot="1" x14ac:dyDescent="0.4">
      <c r="A17" s="10">
        <v>362</v>
      </c>
      <c r="B17" s="11">
        <v>5850</v>
      </c>
      <c r="C17" s="13">
        <f t="shared" si="0"/>
        <v>22.625</v>
      </c>
      <c r="D17" s="11"/>
      <c r="E17" s="12"/>
    </row>
    <row r="29" spans="1:5" ht="58" x14ac:dyDescent="0.35">
      <c r="E29" s="2" t="s">
        <v>46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Bauteilliste</vt:lpstr>
      <vt:lpstr>Preis</vt:lpstr>
      <vt:lpstr>Stromaufnahme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Schwödiauer</dc:creator>
  <cp:lastModifiedBy>Lenhart Fabian (s5ahel)</cp:lastModifiedBy>
  <dcterms:created xsi:type="dcterms:W3CDTF">2026-01-09T11:21:03Z</dcterms:created>
  <dcterms:modified xsi:type="dcterms:W3CDTF">2026-03-27T09:59:33Z</dcterms:modified>
</cp:coreProperties>
</file>